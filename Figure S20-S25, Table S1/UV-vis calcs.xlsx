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adorsa/Lehigh University Dropbox/Andrea Dorsa/2024 Lehigh-Villanova Ru-Ru/2025 11 Ru-Ru-TPAC bridge paper/Hailey thesis + figure data/"/>
    </mc:Choice>
  </mc:AlternateContent>
  <xr:revisionPtr revIDLastSave="0" documentId="13_ncr:1_{46B475A3-C06E-1B45-80B0-6050FBDB08DD}" xr6:coauthVersionLast="47" xr6:coauthVersionMax="47" xr10:uidLastSave="{00000000-0000-0000-0000-000000000000}"/>
  <bookViews>
    <workbookView xWindow="14860" yWindow="500" windowWidth="13940" windowHeight="15780" xr2:uid="{4186CFBE-736E-A84E-B020-7AA8B2E055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S13" i="1" l="1"/>
  <c r="W14" i="1"/>
  <c r="W13" i="1"/>
  <c r="V14" i="1"/>
  <c r="V13" i="1"/>
  <c r="T14" i="1"/>
  <c r="T13" i="1"/>
  <c r="S14" i="1"/>
  <c r="Q14" i="1"/>
  <c r="Q13" i="1"/>
  <c r="P14" i="1"/>
  <c r="P15" i="1" s="1"/>
  <c r="P13" i="1"/>
  <c r="G57" i="1"/>
  <c r="G58" i="1" s="1"/>
  <c r="F57" i="1"/>
  <c r="F58" i="1" s="1"/>
  <c r="E57" i="1"/>
  <c r="D57" i="1"/>
  <c r="C57" i="1"/>
  <c r="C58" i="1" s="1"/>
  <c r="G56" i="1"/>
  <c r="F56" i="1"/>
  <c r="E56" i="1"/>
  <c r="E58" i="1" s="1"/>
  <c r="D56" i="1"/>
  <c r="D58" i="1" s="1"/>
  <c r="C56" i="1"/>
  <c r="Q15" i="1" l="1"/>
  <c r="S15" i="1"/>
  <c r="T15" i="1"/>
  <c r="V15" i="1"/>
  <c r="W15" i="1"/>
  <c r="K39" i="1"/>
  <c r="J39" i="1"/>
  <c r="I39" i="1"/>
  <c r="H39" i="1"/>
  <c r="G39" i="1"/>
  <c r="F39" i="1"/>
  <c r="E39" i="1"/>
  <c r="D39" i="1"/>
  <c r="C39" i="1"/>
  <c r="K38" i="1"/>
  <c r="J38" i="1"/>
  <c r="I38" i="1"/>
  <c r="H38" i="1"/>
  <c r="G38" i="1"/>
  <c r="F38" i="1"/>
  <c r="E38" i="1"/>
  <c r="D38" i="1"/>
  <c r="C38" i="1"/>
  <c r="I40" i="1" l="1"/>
  <c r="J40" i="1"/>
  <c r="K40" i="1"/>
  <c r="D40" i="1"/>
  <c r="C40" i="1"/>
  <c r="E40" i="1"/>
  <c r="F40" i="1"/>
  <c r="G40" i="1"/>
  <c r="H40" i="1"/>
  <c r="H16" i="1"/>
  <c r="G16" i="1"/>
  <c r="G17" i="1" s="1"/>
  <c r="F16" i="1"/>
  <c r="F17" i="1" s="1"/>
  <c r="E16" i="1"/>
  <c r="E17" i="1" s="1"/>
  <c r="D16" i="1"/>
  <c r="D17" i="1" s="1"/>
  <c r="C16" i="1"/>
  <c r="C17" i="1" s="1"/>
  <c r="H15" i="1"/>
  <c r="G15" i="1"/>
  <c r="F15" i="1"/>
  <c r="E15" i="1"/>
  <c r="D15" i="1"/>
  <c r="C15" i="1"/>
  <c r="H17" i="1" l="1"/>
</calcChain>
</file>

<file path=xl/sharedStrings.xml><?xml version="1.0" encoding="utf-8"?>
<sst xmlns="http://schemas.openxmlformats.org/spreadsheetml/2006/main" count="45" uniqueCount="16">
  <si>
    <t>HMB-191-((bpy)2Ru(tpac</t>
  </si>
  <si>
    <t>Extinction Coefficients</t>
  </si>
  <si>
    <t>1cm</t>
  </si>
  <si>
    <t>1mm</t>
  </si>
  <si>
    <t>avg</t>
  </si>
  <si>
    <t>stdev</t>
  </si>
  <si>
    <t>rel %</t>
  </si>
  <si>
    <t>HMB-192-OMebpy-tpac-1c</t>
  </si>
  <si>
    <t>HMB-195-((CF3-bpy)2Ru(</t>
  </si>
  <si>
    <t>[] (mM)</t>
  </si>
  <si>
    <t>path (cm)</t>
  </si>
  <si>
    <t>CF3-bpy</t>
  </si>
  <si>
    <t>λ (nm)</t>
  </si>
  <si>
    <r>
      <t>ε × 10</t>
    </r>
    <r>
      <rPr>
        <vertAlign val="superscript"/>
        <sz val="10"/>
        <color theme="1"/>
        <rFont val="Verdana"/>
        <family val="2"/>
      </rPr>
      <t>3</t>
    </r>
  </si>
  <si>
    <t>bpy</t>
  </si>
  <si>
    <t>MeO-bpy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</si>
</sst>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5" x14ac:knownFonts="1">
    <font>
      <sz val="10"/>
      <color theme="1"/>
      <name val="Verdana"/>
      <family val="2"/>
    </font>
    <font>
      <sz val="10"/>
      <color theme="1"/>
      <name val="Verdana"/>
      <family val="2"/>
    </font>
    <font>
      <b/>
      <sz val="10"/>
      <color theme="1"/>
      <name val="Verdana"/>
      <family val="2"/>
    </font>
    <font>
      <sz val="12"/>
      <color rgb="FF000000"/>
      <name val="Aptos Narrow"/>
      <family val="2"/>
      <scheme val="minor"/>
    </font>
    <font>
      <vertAlign val="superscript"/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0" fillId="2" borderId="0" xfId="0" applyFill="1"/>
    <xf numFmtId="164" fontId="3" fillId="0" borderId="0" xfId="0" applyNumberFormat="1" applyFont="1"/>
    <xf numFmtId="0" fontId="3" fillId="0" borderId="0" xfId="0" applyFont="1"/>
    <xf numFmtId="0" fontId="2" fillId="0" borderId="0" xfId="0" applyFont="1"/>
    <xf numFmtId="10" fontId="0" fillId="0" borderId="0" xfId="1" applyNumberFormat="1" applyFont="1"/>
    <xf numFmtId="0" fontId="0" fillId="0" borderId="0" xfId="0" applyAlignment="1">
      <alignment horizontal="righ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6833C-FB32-2847-ACFF-97705CD1F774}">
  <dimension ref="A1:W58"/>
  <sheetViews>
    <sheetView tabSelected="1" topLeftCell="R1" zoomScale="137" zoomScaleNormal="160" workbookViewId="0">
      <selection activeCell="O6" sqref="O6"/>
    </sheetView>
  </sheetViews>
  <sheetFormatPr baseColWidth="10" defaultRowHeight="13" x14ac:dyDescent="0.15"/>
  <sheetData>
    <row r="1" spans="1:23" x14ac:dyDescent="0.15">
      <c r="A1" t="s">
        <v>0</v>
      </c>
    </row>
    <row r="2" spans="1:23" x14ac:dyDescent="0.15">
      <c r="B2" t="s">
        <v>1</v>
      </c>
      <c r="C2" s="5">
        <v>453</v>
      </c>
      <c r="D2">
        <v>354</v>
      </c>
      <c r="E2">
        <v>323</v>
      </c>
      <c r="F2" s="5">
        <v>287</v>
      </c>
      <c r="G2">
        <v>253</v>
      </c>
      <c r="H2">
        <v>245</v>
      </c>
      <c r="O2" t="s">
        <v>11</v>
      </c>
      <c r="R2" t="s">
        <v>14</v>
      </c>
      <c r="U2" t="s">
        <v>15</v>
      </c>
    </row>
    <row r="3" spans="1:23" x14ac:dyDescent="0.15">
      <c r="A3" t="s">
        <v>2</v>
      </c>
      <c r="B3" s="1">
        <v>2.3288361417455071E-2</v>
      </c>
      <c r="C3">
        <v>35.611041929227653</v>
      </c>
      <c r="D3">
        <v>13.267618329231734</v>
      </c>
      <c r="E3">
        <v>67.253420020615394</v>
      </c>
      <c r="F3" s="2"/>
      <c r="G3">
        <v>57.430405558612989</v>
      </c>
      <c r="H3">
        <v>59.622628750483187</v>
      </c>
      <c r="O3" t="s">
        <v>12</v>
      </c>
      <c r="P3">
        <v>296</v>
      </c>
      <c r="Q3">
        <v>457</v>
      </c>
      <c r="R3" t="s">
        <v>12</v>
      </c>
      <c r="S3">
        <v>287</v>
      </c>
      <c r="T3">
        <v>453</v>
      </c>
      <c r="U3" t="s">
        <v>12</v>
      </c>
      <c r="V3">
        <v>222</v>
      </c>
      <c r="W3">
        <v>455</v>
      </c>
    </row>
    <row r="4" spans="1:23" x14ac:dyDescent="0.15">
      <c r="B4" s="1">
        <v>3.0041986228517042E-2</v>
      </c>
      <c r="C4">
        <v>34.495780376075217</v>
      </c>
      <c r="D4">
        <v>12.657529878601858</v>
      </c>
      <c r="E4" s="2"/>
      <c r="F4" s="2"/>
      <c r="G4">
        <v>55.515571750607492</v>
      </c>
      <c r="H4">
        <v>57.592358702223102</v>
      </c>
      <c r="O4" t="s">
        <v>10</v>
      </c>
      <c r="P4">
        <v>0.1</v>
      </c>
      <c r="Q4">
        <v>1</v>
      </c>
      <c r="R4" t="s">
        <v>10</v>
      </c>
      <c r="S4">
        <v>0.1</v>
      </c>
      <c r="T4">
        <v>1</v>
      </c>
      <c r="U4" t="s">
        <v>10</v>
      </c>
      <c r="V4">
        <v>0.1</v>
      </c>
      <c r="W4">
        <v>1</v>
      </c>
    </row>
    <row r="5" spans="1:23" ht="15" x14ac:dyDescent="0.15">
      <c r="B5" s="1">
        <v>3.7960029110451772E-2</v>
      </c>
      <c r="C5">
        <v>35.312838936441125</v>
      </c>
      <c r="D5">
        <v>13.07198966724118</v>
      </c>
      <c r="E5" s="2"/>
      <c r="F5" s="2"/>
      <c r="G5" s="2"/>
      <c r="H5" s="2"/>
      <c r="O5" t="s">
        <v>9</v>
      </c>
      <c r="P5" t="s">
        <v>13</v>
      </c>
      <c r="R5" t="s">
        <v>9</v>
      </c>
      <c r="S5" t="s">
        <v>13</v>
      </c>
      <c r="U5" t="s">
        <v>9</v>
      </c>
      <c r="V5" t="s">
        <v>13</v>
      </c>
    </row>
    <row r="6" spans="1:23" ht="16" x14ac:dyDescent="0.2">
      <c r="B6" s="1">
        <v>4.5062979342775568E-2</v>
      </c>
      <c r="C6">
        <v>35.466601261379452</v>
      </c>
      <c r="D6">
        <v>13.068037663923549</v>
      </c>
      <c r="E6" s="2"/>
      <c r="F6" s="2"/>
      <c r="G6" s="2"/>
      <c r="H6" s="2"/>
      <c r="O6" s="1">
        <v>1.6794122057279953E-2</v>
      </c>
      <c r="P6">
        <v>187.7610923181964</v>
      </c>
      <c r="Q6">
        <v>36.505982480592856</v>
      </c>
      <c r="R6" s="3">
        <v>2.3300000000000001E-2</v>
      </c>
      <c r="S6">
        <v>183.24389159477167</v>
      </c>
      <c r="T6">
        <v>35.611041929227653</v>
      </c>
      <c r="U6" s="1">
        <v>2.0094859557617577E-2</v>
      </c>
      <c r="V6">
        <v>161.16599568824574</v>
      </c>
      <c r="W6">
        <v>30.764688950794266</v>
      </c>
    </row>
    <row r="7" spans="1:23" ht="16" x14ac:dyDescent="0.2">
      <c r="B7" s="1">
        <v>5.2981022224710295E-2</v>
      </c>
      <c r="C7">
        <v>35.317624432834954</v>
      </c>
      <c r="D7">
        <v>13.010931021230769</v>
      </c>
      <c r="E7" s="2"/>
      <c r="F7" s="2"/>
      <c r="G7" s="2"/>
      <c r="H7" s="2"/>
      <c r="O7" s="1">
        <v>1.9565152196731144E-2</v>
      </c>
      <c r="P7">
        <v>191.72744266342733</v>
      </c>
      <c r="Q7">
        <v>37.567255639483442</v>
      </c>
      <c r="R7" s="3">
        <v>0.03</v>
      </c>
      <c r="S7">
        <v>178.58714078322902</v>
      </c>
      <c r="T7">
        <v>34.495780376075217</v>
      </c>
      <c r="U7" s="1">
        <v>2.5520471638174318E-2</v>
      </c>
      <c r="V7">
        <v>161.33695207706126</v>
      </c>
      <c r="W7">
        <v>31.463495980180184</v>
      </c>
    </row>
    <row r="8" spans="1:23" ht="16" x14ac:dyDescent="0.2">
      <c r="B8" s="1">
        <v>5.996753064994681E-2</v>
      </c>
      <c r="C8" s="2"/>
      <c r="D8">
        <v>13.242203620747295</v>
      </c>
      <c r="E8" s="2"/>
      <c r="F8" s="2"/>
      <c r="G8" s="2"/>
      <c r="H8" s="2"/>
      <c r="O8" s="1">
        <v>2.2420152946468739E-2</v>
      </c>
      <c r="P8">
        <v>189.89722854101117</v>
      </c>
      <c r="Q8">
        <v>37.146483121167734</v>
      </c>
      <c r="R8" s="3">
        <v>3.7999999999999999E-2</v>
      </c>
      <c r="S8">
        <v>183.42538114869041</v>
      </c>
      <c r="T8">
        <v>35.312838936441125</v>
      </c>
      <c r="U8" s="1">
        <v>3.06446608253668E-2</v>
      </c>
      <c r="V8">
        <v>161.97668882185724</v>
      </c>
      <c r="W8">
        <v>31.414839086850201</v>
      </c>
    </row>
    <row r="9" spans="1:23" ht="16" x14ac:dyDescent="0.2">
      <c r="A9" t="s">
        <v>3</v>
      </c>
      <c r="B9" s="3">
        <v>2.3300000000000001E-2</v>
      </c>
      <c r="C9" s="2"/>
      <c r="D9" s="2"/>
      <c r="E9" s="2"/>
      <c r="F9">
        <v>183.24389159477167</v>
      </c>
      <c r="G9" s="2"/>
      <c r="H9" s="2"/>
      <c r="O9" s="1">
        <v>2.5191183085919926E-2</v>
      </c>
      <c r="P9">
        <v>192.27169682662498</v>
      </c>
      <c r="Q9">
        <v>37.741734112178577</v>
      </c>
      <c r="R9" s="3">
        <v>4.5100000000000001E-2</v>
      </c>
      <c r="S9">
        <v>184.64230644203815</v>
      </c>
      <c r="T9">
        <v>35.466601261379452</v>
      </c>
      <c r="U9" s="1">
        <v>3.5768850012559285E-2</v>
      </c>
      <c r="V9">
        <v>162.61404745893876</v>
      </c>
      <c r="W9">
        <v>31.782341691187625</v>
      </c>
    </row>
    <row r="10" spans="1:23" ht="16" x14ac:dyDescent="0.2">
      <c r="B10" s="3">
        <v>0.03</v>
      </c>
      <c r="C10" s="2"/>
      <c r="D10" s="2"/>
      <c r="E10" s="2"/>
      <c r="F10">
        <v>178.58714078322902</v>
      </c>
      <c r="G10" s="2"/>
      <c r="H10" s="2"/>
      <c r="O10" s="1">
        <v>2.7962213225371124E-2</v>
      </c>
      <c r="P10">
        <v>189.62690933166022</v>
      </c>
      <c r="Q10">
        <v>37.149129063127404</v>
      </c>
      <c r="R10" s="3">
        <v>5.2999999999999999E-2</v>
      </c>
      <c r="S10">
        <v>183.50906892214388</v>
      </c>
      <c r="T10">
        <v>35.317624432834954</v>
      </c>
      <c r="U10" s="1">
        <v>4.1696833582056461E-2</v>
      </c>
      <c r="V10">
        <v>161.3072271102626</v>
      </c>
      <c r="W10">
        <v>31.779212956118364</v>
      </c>
    </row>
    <row r="11" spans="1:23" ht="16" x14ac:dyDescent="0.2">
      <c r="B11" s="3">
        <v>3.7999999999999999E-2</v>
      </c>
      <c r="C11" s="2"/>
      <c r="D11" s="2"/>
      <c r="E11" s="2"/>
      <c r="F11">
        <v>183.42538114869041</v>
      </c>
      <c r="G11" s="2"/>
      <c r="H11" s="2"/>
      <c r="R11" s="3">
        <v>0.06</v>
      </c>
      <c r="S11">
        <v>185.65936598241225</v>
      </c>
      <c r="U11" s="1">
        <v>5.1040943276348637E-2</v>
      </c>
      <c r="W11">
        <v>31.386487830493003</v>
      </c>
    </row>
    <row r="12" spans="1:23" ht="16" x14ac:dyDescent="0.2">
      <c r="B12" s="3">
        <v>4.5100000000000001E-2</v>
      </c>
      <c r="C12" s="2"/>
      <c r="D12" s="2"/>
      <c r="E12">
        <v>68.932704745763772</v>
      </c>
      <c r="F12">
        <v>184.64230644203815</v>
      </c>
      <c r="G12" s="2"/>
      <c r="H12" s="2"/>
    </row>
    <row r="13" spans="1:23" ht="16" x14ac:dyDescent="0.2">
      <c r="B13" s="3">
        <v>5.2999999999999999E-2</v>
      </c>
      <c r="C13" s="2"/>
      <c r="D13" s="2"/>
      <c r="E13">
        <v>68.2045558062986</v>
      </c>
      <c r="F13">
        <v>183.50906892214388</v>
      </c>
      <c r="G13">
        <v>57.145278098993025</v>
      </c>
      <c r="H13">
        <v>59.268632920703709</v>
      </c>
      <c r="O13" s="7" t="s">
        <v>4</v>
      </c>
      <c r="P13">
        <f>AVERAGE(P6:P10)</f>
        <v>190.25687393618401</v>
      </c>
      <c r="Q13">
        <f>AVERAGE(Q6:Q10)</f>
        <v>37.222116883310001</v>
      </c>
      <c r="R13" s="7" t="s">
        <v>4</v>
      </c>
      <c r="S13">
        <f>AVERAGE(S6:S10)</f>
        <v>182.68155777817464</v>
      </c>
      <c r="T13">
        <f>AVERAGE(T6:T10)</f>
        <v>35.240777387191677</v>
      </c>
      <c r="U13" s="7" t="s">
        <v>4</v>
      </c>
      <c r="V13">
        <f>AVERAGE(V6:V10)</f>
        <v>161.68018223127314</v>
      </c>
      <c r="W13">
        <f>AVERAGE(W6:W10)</f>
        <v>31.440915733026127</v>
      </c>
    </row>
    <row r="14" spans="1:23" ht="16" x14ac:dyDescent="0.2">
      <c r="B14" s="3">
        <v>0.06</v>
      </c>
      <c r="C14" s="2"/>
      <c r="D14" s="2"/>
      <c r="E14">
        <v>69.09668952666263</v>
      </c>
      <c r="F14">
        <v>185.65936598241225</v>
      </c>
      <c r="G14">
        <v>57.964211437862218</v>
      </c>
      <c r="H14">
        <v>60.112059875241791</v>
      </c>
      <c r="O14" s="7" t="s">
        <v>5</v>
      </c>
      <c r="P14">
        <f>STDEV(P6:P10)</f>
        <v>1.8011947256819283</v>
      </c>
      <c r="Q14">
        <f>STDEV(Q6:Q10)</f>
        <v>0.47776013756273406</v>
      </c>
      <c r="R14" s="7" t="s">
        <v>5</v>
      </c>
      <c r="S14">
        <f>STDEV(S6:S10)</f>
        <v>2.3538825943825965</v>
      </c>
      <c r="T14">
        <f>STDEV(T6:T10)</f>
        <v>0.43422665024128715</v>
      </c>
      <c r="U14" s="7" t="s">
        <v>5</v>
      </c>
      <c r="V14">
        <f>STDEV(V6:V10)</f>
        <v>0.6085455372816243</v>
      </c>
      <c r="W14">
        <f>STDEV(W6:W10)</f>
        <v>0.41517743679762859</v>
      </c>
    </row>
    <row r="15" spans="1:23" x14ac:dyDescent="0.15">
      <c r="A15" t="s">
        <v>4</v>
      </c>
      <c r="C15">
        <f t="shared" ref="C15:H15" si="0">AVERAGE(C3:C14)</f>
        <v>35.240777387191677</v>
      </c>
      <c r="D15">
        <f t="shared" si="0"/>
        <v>13.053051696829398</v>
      </c>
      <c r="E15">
        <f t="shared" si="0"/>
        <v>68.371842524835102</v>
      </c>
      <c r="F15">
        <f t="shared" si="0"/>
        <v>183.17785914554759</v>
      </c>
      <c r="G15">
        <f t="shared" si="0"/>
        <v>57.013866711518929</v>
      </c>
      <c r="H15">
        <f t="shared" si="0"/>
        <v>59.148920062162944</v>
      </c>
      <c r="O15" s="7" t="s">
        <v>6</v>
      </c>
      <c r="P15" s="6">
        <f>P14/P13</f>
        <v>9.467172924780028E-3</v>
      </c>
      <c r="Q15" s="6">
        <f>Q14/Q13</f>
        <v>1.2835383303440128E-2</v>
      </c>
      <c r="R15" s="7" t="s">
        <v>6</v>
      </c>
      <c r="S15" s="6">
        <f>S14/S13</f>
        <v>1.2885168174670667E-2</v>
      </c>
      <c r="T15" s="6">
        <f>T14/T13</f>
        <v>1.2321710315025786E-2</v>
      </c>
      <c r="U15" s="7" t="s">
        <v>6</v>
      </c>
      <c r="V15" s="6">
        <f>V14/V13</f>
        <v>3.7638845335486999E-3</v>
      </c>
      <c r="W15" s="6">
        <f>W14/W13</f>
        <v>1.3205004597290352E-2</v>
      </c>
    </row>
    <row r="16" spans="1:23" x14ac:dyDescent="0.15">
      <c r="A16" t="s">
        <v>5</v>
      </c>
      <c r="C16">
        <f>STDEV(C3:C14)</f>
        <v>0.43422665024128715</v>
      </c>
      <c r="D16">
        <f t="shared" ref="D16:H16" si="1">STDEV(D3:D14)</f>
        <v>0.21936826388622838</v>
      </c>
      <c r="E16">
        <f t="shared" si="1"/>
        <v>0.84040136265699239</v>
      </c>
      <c r="F16">
        <f t="shared" si="1"/>
        <v>2.4311521750082541</v>
      </c>
      <c r="G16">
        <f t="shared" si="1"/>
        <v>1.0549591544506074</v>
      </c>
      <c r="H16">
        <f t="shared" si="1"/>
        <v>1.0938087365844502</v>
      </c>
    </row>
    <row r="17" spans="1:11" x14ac:dyDescent="0.15">
      <c r="A17" t="s">
        <v>6</v>
      </c>
      <c r="C17">
        <f>C16/C15</f>
        <v>1.2321710315025786E-2</v>
      </c>
      <c r="D17">
        <f t="shared" ref="D17:H17" si="2">D16/D15</f>
        <v>1.6805898649701449E-2</v>
      </c>
      <c r="E17">
        <f t="shared" si="2"/>
        <v>1.2291629589355129E-2</v>
      </c>
      <c r="F17">
        <f t="shared" si="2"/>
        <v>1.3272085318327333E-2</v>
      </c>
      <c r="G17">
        <f t="shared" si="2"/>
        <v>1.850355387731431E-2</v>
      </c>
      <c r="H17">
        <f t="shared" si="2"/>
        <v>1.849245489917491E-2</v>
      </c>
    </row>
    <row r="24" spans="1:11" x14ac:dyDescent="0.15">
      <c r="A24" t="s">
        <v>7</v>
      </c>
    </row>
    <row r="25" spans="1:11" x14ac:dyDescent="0.15">
      <c r="B25" t="s">
        <v>1</v>
      </c>
      <c r="C25" s="5">
        <v>455</v>
      </c>
      <c r="D25">
        <v>357</v>
      </c>
      <c r="E25">
        <v>324</v>
      </c>
      <c r="F25">
        <v>310</v>
      </c>
      <c r="G25">
        <v>283</v>
      </c>
      <c r="H25" s="5">
        <v>222</v>
      </c>
      <c r="I25">
        <v>209</v>
      </c>
      <c r="J25">
        <v>484</v>
      </c>
      <c r="K25">
        <v>339</v>
      </c>
    </row>
    <row r="26" spans="1:11" x14ac:dyDescent="0.15">
      <c r="A26" t="s">
        <v>2</v>
      </c>
      <c r="B26" s="1">
        <v>2.0094859557617577E-2</v>
      </c>
      <c r="C26">
        <v>30.764688950794266</v>
      </c>
      <c r="D26">
        <v>19.332396660256027</v>
      </c>
      <c r="E26">
        <v>63.075117064927198</v>
      </c>
      <c r="F26">
        <v>66.875128793352204</v>
      </c>
      <c r="G26" s="2"/>
      <c r="H26" s="2"/>
      <c r="I26" s="2"/>
      <c r="J26">
        <v>28.965852989967793</v>
      </c>
      <c r="K26">
        <v>28.05336609015022</v>
      </c>
    </row>
    <row r="27" spans="1:11" x14ac:dyDescent="0.15">
      <c r="B27" s="1">
        <v>2.5520471638174318E-2</v>
      </c>
      <c r="C27">
        <v>31.463495980180184</v>
      </c>
      <c r="D27">
        <v>19.668090238159394</v>
      </c>
      <c r="E27">
        <v>64.755027040000002</v>
      </c>
      <c r="F27">
        <v>68.726033706071107</v>
      </c>
      <c r="G27" s="2"/>
      <c r="H27" s="2"/>
      <c r="I27" s="2"/>
      <c r="J27">
        <v>29.665108538494039</v>
      </c>
      <c r="K27">
        <v>28.909619616762683</v>
      </c>
    </row>
    <row r="28" spans="1:11" x14ac:dyDescent="0.15">
      <c r="B28" s="1">
        <v>3.06446608253668E-2</v>
      </c>
      <c r="C28">
        <v>31.414839086850201</v>
      </c>
      <c r="D28">
        <v>19.603607944086598</v>
      </c>
      <c r="E28" s="2"/>
      <c r="F28" s="2"/>
      <c r="G28" s="2"/>
      <c r="H28" s="2"/>
      <c r="I28" s="2"/>
      <c r="J28">
        <v>29.672479466547209</v>
      </c>
      <c r="K28">
        <v>28.824477550000001</v>
      </c>
    </row>
    <row r="29" spans="1:11" x14ac:dyDescent="0.15">
      <c r="B29" s="1">
        <v>3.5768850012559285E-2</v>
      </c>
      <c r="C29">
        <v>31.782341691187625</v>
      </c>
      <c r="D29">
        <v>19.841586099379874</v>
      </c>
      <c r="E29" s="2"/>
      <c r="F29" s="2"/>
      <c r="G29" s="2"/>
      <c r="H29" s="2"/>
      <c r="I29" s="2"/>
      <c r="J29">
        <v>29.983656634849225</v>
      </c>
      <c r="K29">
        <v>29.126378640470506</v>
      </c>
    </row>
    <row r="30" spans="1:11" ht="16" x14ac:dyDescent="0.2">
      <c r="B30" s="1">
        <v>4.1696833582056461E-2</v>
      </c>
      <c r="C30">
        <v>31.779212956118364</v>
      </c>
      <c r="D30" s="4">
        <v>19.822014899999999</v>
      </c>
      <c r="E30" s="2"/>
      <c r="F30" s="2"/>
      <c r="G30" s="2"/>
      <c r="H30" s="2"/>
      <c r="I30" s="2"/>
      <c r="J30">
        <v>29.981732007055289</v>
      </c>
      <c r="K30">
        <v>29.106174755731761</v>
      </c>
    </row>
    <row r="31" spans="1:11" x14ac:dyDescent="0.15">
      <c r="B31" s="1">
        <v>5.1040943276348637E-2</v>
      </c>
      <c r="C31">
        <v>31.386487830493003</v>
      </c>
      <c r="D31">
        <v>19.607225489183655</v>
      </c>
      <c r="E31" s="2"/>
      <c r="F31" s="2"/>
      <c r="G31" s="2"/>
      <c r="H31" s="2"/>
      <c r="I31" s="2"/>
      <c r="J31">
        <v>29.604162051217006</v>
      </c>
      <c r="K31">
        <v>28.772547816147235</v>
      </c>
    </row>
    <row r="32" spans="1:11" ht="16" x14ac:dyDescent="0.2">
      <c r="A32" t="s">
        <v>3</v>
      </c>
      <c r="B32" s="3">
        <v>2.0094859557617577E-2</v>
      </c>
      <c r="C32" s="2"/>
      <c r="D32" s="2"/>
      <c r="E32" s="2"/>
      <c r="F32" s="2"/>
      <c r="G32" s="2"/>
      <c r="H32" s="2"/>
      <c r="I32" s="2"/>
      <c r="J32" s="2"/>
      <c r="K32" s="2"/>
    </row>
    <row r="33" spans="1:11" ht="16" x14ac:dyDescent="0.2">
      <c r="B33" s="3">
        <v>2.5520471638174318E-2</v>
      </c>
      <c r="C33" s="2"/>
      <c r="D33" s="2"/>
      <c r="E33" s="2"/>
      <c r="F33" s="2"/>
      <c r="G33">
        <v>151.24228598606416</v>
      </c>
      <c r="H33">
        <v>161.16599568824574</v>
      </c>
      <c r="I33">
        <v>131.92878778790705</v>
      </c>
      <c r="J33" s="2"/>
      <c r="K33" s="2"/>
    </row>
    <row r="34" spans="1:11" ht="16" x14ac:dyDescent="0.2">
      <c r="B34" s="3">
        <v>3.06446608253668E-2</v>
      </c>
      <c r="C34" s="2"/>
      <c r="D34" s="2"/>
      <c r="E34" s="2"/>
      <c r="F34" s="2"/>
      <c r="G34">
        <v>150.84544597646627</v>
      </c>
      <c r="H34">
        <v>161.33695207706126</v>
      </c>
      <c r="I34">
        <v>133.13414161278016</v>
      </c>
      <c r="J34" s="2"/>
      <c r="K34" s="2"/>
    </row>
    <row r="35" spans="1:11" ht="16" x14ac:dyDescent="0.2">
      <c r="B35" s="3">
        <v>3.5768850012559285E-2</v>
      </c>
      <c r="C35" s="2"/>
      <c r="D35" s="2"/>
      <c r="E35" s="2"/>
      <c r="F35" s="2"/>
      <c r="G35">
        <v>151.81829438445101</v>
      </c>
      <c r="H35">
        <v>161.97668882185724</v>
      </c>
      <c r="I35">
        <v>132.44217936379337</v>
      </c>
      <c r="J35" s="2"/>
      <c r="K35" s="2"/>
    </row>
    <row r="36" spans="1:11" ht="16" x14ac:dyDescent="0.2">
      <c r="B36" s="3">
        <v>4.1696833582056461E-2</v>
      </c>
      <c r="C36" s="2"/>
      <c r="D36" s="2"/>
      <c r="E36">
        <v>66.272604454770047</v>
      </c>
      <c r="F36">
        <v>70.32940163739336</v>
      </c>
      <c r="G36">
        <v>152.57430491647028</v>
      </c>
      <c r="H36">
        <v>162.61404745893876</v>
      </c>
      <c r="I36">
        <v>133.00705846370593</v>
      </c>
      <c r="J36" s="2"/>
      <c r="K36" s="2"/>
    </row>
    <row r="37" spans="1:11" ht="16" x14ac:dyDescent="0.2">
      <c r="B37" s="3">
        <v>5.1040943276348637E-2</v>
      </c>
      <c r="C37" s="2"/>
      <c r="D37" s="2"/>
      <c r="E37">
        <v>65.709659984950221</v>
      </c>
      <c r="F37">
        <v>69.67596399512334</v>
      </c>
      <c r="G37">
        <v>151.03291454200328</v>
      </c>
      <c r="H37">
        <v>161.3072271102626</v>
      </c>
      <c r="I37">
        <v>131.75665687816991</v>
      </c>
      <c r="J37" s="2"/>
      <c r="K37" s="2"/>
    </row>
    <row r="38" spans="1:11" x14ac:dyDescent="0.15">
      <c r="A38" t="s">
        <v>4</v>
      </c>
      <c r="C38">
        <f t="shared" ref="C38:H38" si="3">AVERAGE(C26:C37)</f>
        <v>31.431844415937274</v>
      </c>
      <c r="D38">
        <f t="shared" si="3"/>
        <v>19.645820221844257</v>
      </c>
      <c r="E38">
        <f t="shared" si="3"/>
        <v>64.953102136161874</v>
      </c>
      <c r="F38">
        <f t="shared" si="3"/>
        <v>68.901632032984992</v>
      </c>
      <c r="G38">
        <f t="shared" si="3"/>
        <v>151.502649161091</v>
      </c>
      <c r="H38">
        <f t="shared" si="3"/>
        <v>161.68018223127314</v>
      </c>
      <c r="I38">
        <f>AVERAGE(I26:I37)</f>
        <v>132.45376482127128</v>
      </c>
      <c r="J38">
        <f>AVERAGE(J26:J37)</f>
        <v>29.645498614688425</v>
      </c>
      <c r="K38">
        <f>AVERAGE(K26:K37)</f>
        <v>28.798760744877068</v>
      </c>
    </row>
    <row r="39" spans="1:11" x14ac:dyDescent="0.15">
      <c r="A39" t="s">
        <v>5</v>
      </c>
      <c r="C39">
        <f>STDEV(C26:C37)</f>
        <v>0.37201018263353802</v>
      </c>
      <c r="D39">
        <f t="shared" ref="D39:H39" si="4">STDEV(D26:D37)</f>
        <v>0.18513268527499765</v>
      </c>
      <c r="E39">
        <f t="shared" si="4"/>
        <v>1.3999437868328191</v>
      </c>
      <c r="F39">
        <f t="shared" si="4"/>
        <v>1.5028490923929114</v>
      </c>
      <c r="G39">
        <f t="shared" si="4"/>
        <v>0.70150438099629164</v>
      </c>
      <c r="H39">
        <f t="shared" si="4"/>
        <v>0.6085455372816243</v>
      </c>
      <c r="I39">
        <f>STDEV(I26:I37)</f>
        <v>0.6186155966960456</v>
      </c>
      <c r="J39">
        <f>STDEV(J26:J37)</f>
        <v>0.3720599798155706</v>
      </c>
      <c r="K39">
        <f>STDEV(K26:K37)</f>
        <v>0.39270554160904736</v>
      </c>
    </row>
    <row r="40" spans="1:11" x14ac:dyDescent="0.15">
      <c r="A40" t="s">
        <v>6</v>
      </c>
      <c r="C40">
        <f>C39/C38</f>
        <v>1.1835455078955314E-2</v>
      </c>
      <c r="D40">
        <f t="shared" ref="D40:G40" si="5">D39/D38</f>
        <v>9.4235151897169439E-3</v>
      </c>
      <c r="E40">
        <f t="shared" si="5"/>
        <v>2.1553147437024672E-2</v>
      </c>
      <c r="F40">
        <f t="shared" si="5"/>
        <v>2.1811516622327012E-2</v>
      </c>
      <c r="G40">
        <f t="shared" si="5"/>
        <v>4.6303109871721794E-3</v>
      </c>
      <c r="H40">
        <f>H39/H38</f>
        <v>3.7638845335486999E-3</v>
      </c>
      <c r="I40">
        <f>I39/I38</f>
        <v>4.6704266770430042E-3</v>
      </c>
      <c r="J40">
        <f>J39/J38</f>
        <v>1.2550302649698947E-2</v>
      </c>
      <c r="K40">
        <f>K39/K38</f>
        <v>1.3636195844951581E-2</v>
      </c>
    </row>
    <row r="43" spans="1:11" x14ac:dyDescent="0.15">
      <c r="A43" t="s">
        <v>8</v>
      </c>
    </row>
    <row r="44" spans="1:11" x14ac:dyDescent="0.15">
      <c r="B44" t="s">
        <v>1</v>
      </c>
      <c r="C44" s="5">
        <v>457</v>
      </c>
      <c r="D44">
        <v>322</v>
      </c>
      <c r="E44" s="5">
        <v>296</v>
      </c>
      <c r="F44">
        <v>256</v>
      </c>
      <c r="G44">
        <v>244</v>
      </c>
    </row>
    <row r="45" spans="1:11" x14ac:dyDescent="0.15">
      <c r="A45" t="s">
        <v>2</v>
      </c>
      <c r="B45" s="1">
        <v>1.6794122057279953E-2</v>
      </c>
      <c r="C45">
        <v>36.505982480592856</v>
      </c>
      <c r="D45">
        <v>69.669926954758921</v>
      </c>
      <c r="E45" s="2"/>
      <c r="F45">
        <v>59.603011969660713</v>
      </c>
      <c r="G45">
        <v>67.37582846788392</v>
      </c>
    </row>
    <row r="46" spans="1:11" x14ac:dyDescent="0.15">
      <c r="B46" s="1">
        <v>1.9565152196731144E-2</v>
      </c>
      <c r="C46">
        <v>37.567255639483442</v>
      </c>
      <c r="D46">
        <v>72.01364062148221</v>
      </c>
      <c r="E46" s="2"/>
      <c r="F46">
        <v>61.873849834005213</v>
      </c>
      <c r="G46">
        <v>69.703057828900981</v>
      </c>
    </row>
    <row r="47" spans="1:11" x14ac:dyDescent="0.15">
      <c r="B47" s="1">
        <v>2.2420152946468739E-2</v>
      </c>
      <c r="C47">
        <v>37.146483121167734</v>
      </c>
      <c r="D47">
        <v>71.185022636135614</v>
      </c>
      <c r="E47" s="2"/>
      <c r="F47">
        <v>60.908741540000001</v>
      </c>
      <c r="G47">
        <v>68.890397701023261</v>
      </c>
    </row>
    <row r="48" spans="1:11" x14ac:dyDescent="0.15">
      <c r="B48" s="1">
        <v>2.5191183085919926E-2</v>
      </c>
      <c r="C48">
        <v>37.741734112178577</v>
      </c>
      <c r="D48">
        <v>72.296872949089291</v>
      </c>
      <c r="E48" s="2"/>
      <c r="F48">
        <v>61.982455356482149</v>
      </c>
      <c r="G48">
        <v>69.978803615035716</v>
      </c>
    </row>
    <row r="49" spans="1:7" ht="16" x14ac:dyDescent="0.2">
      <c r="B49" s="1">
        <v>2.7962213225371124E-2</v>
      </c>
      <c r="C49">
        <v>37.149129063127404</v>
      </c>
      <c r="D49" s="4">
        <v>71.146986576689173</v>
      </c>
      <c r="E49" s="2"/>
      <c r="F49">
        <v>61.052451436534746</v>
      </c>
      <c r="G49">
        <v>68.842136331805008</v>
      </c>
    </row>
    <row r="50" spans="1:7" x14ac:dyDescent="0.15">
      <c r="A50" t="s">
        <v>3</v>
      </c>
      <c r="B50" s="1">
        <v>1.6794122057279953E-2</v>
      </c>
      <c r="C50" s="2"/>
      <c r="D50" s="2"/>
      <c r="E50">
        <v>187.7610923181964</v>
      </c>
      <c r="F50" s="2"/>
      <c r="G50" s="2"/>
    </row>
    <row r="51" spans="1:7" ht="16" x14ac:dyDescent="0.2">
      <c r="B51" s="3">
        <v>1.9565152196731144E-2</v>
      </c>
      <c r="C51" s="2"/>
      <c r="D51" s="2"/>
      <c r="E51">
        <v>191.72744266342733</v>
      </c>
      <c r="F51" s="2"/>
      <c r="G51" s="2"/>
    </row>
    <row r="52" spans="1:7" ht="16" x14ac:dyDescent="0.2">
      <c r="B52" s="3">
        <v>2.2420152946468739E-2</v>
      </c>
      <c r="C52" s="2"/>
      <c r="D52" s="2"/>
      <c r="E52">
        <v>189.89722854101117</v>
      </c>
      <c r="F52" s="2"/>
      <c r="G52" s="2"/>
    </row>
    <row r="53" spans="1:7" ht="16" x14ac:dyDescent="0.2">
      <c r="B53" s="3">
        <v>2.5191183085919926E-2</v>
      </c>
      <c r="C53" s="2"/>
      <c r="D53" s="2"/>
      <c r="E53">
        <v>192.27169682662498</v>
      </c>
      <c r="F53" s="2"/>
      <c r="G53" s="2"/>
    </row>
    <row r="54" spans="1:7" ht="16" x14ac:dyDescent="0.2">
      <c r="B54" s="3">
        <v>2.7962213225371124E-2</v>
      </c>
      <c r="C54" s="2"/>
      <c r="D54" s="2"/>
      <c r="E54">
        <v>189.62690933166022</v>
      </c>
      <c r="F54" s="2"/>
      <c r="G54" s="2"/>
    </row>
    <row r="55" spans="1:7" ht="16" x14ac:dyDescent="0.2">
      <c r="B55" s="3"/>
    </row>
    <row r="56" spans="1:7" x14ac:dyDescent="0.15">
      <c r="A56" t="s">
        <v>4</v>
      </c>
      <c r="C56">
        <f>AVERAGE(C45:C54)</f>
        <v>37.222116883310001</v>
      </c>
      <c r="D56">
        <f>AVERAGE(D45:D54)</f>
        <v>71.262489947631053</v>
      </c>
      <c r="E56">
        <f t="shared" ref="E56:G56" si="6">AVERAGE(E45:E54)</f>
        <v>190.25687393618401</v>
      </c>
      <c r="F56">
        <f t="shared" si="6"/>
        <v>61.084102027336563</v>
      </c>
      <c r="G56">
        <f t="shared" si="6"/>
        <v>68.958044788929783</v>
      </c>
    </row>
    <row r="57" spans="1:7" x14ac:dyDescent="0.15">
      <c r="A57" t="s">
        <v>5</v>
      </c>
      <c r="C57">
        <f>STDEV(C45:C54)</f>
        <v>0.47776013756273406</v>
      </c>
      <c r="D57">
        <f t="shared" ref="D57:G57" si="7">STDEV(D45:D54)</f>
        <v>1.0234469487775018</v>
      </c>
      <c r="E57">
        <f t="shared" si="7"/>
        <v>1.8011947256819283</v>
      </c>
      <c r="F57">
        <f t="shared" si="7"/>
        <v>0.95604930854639669</v>
      </c>
      <c r="G57">
        <f t="shared" si="7"/>
        <v>1.0146935986197347</v>
      </c>
    </row>
    <row r="58" spans="1:7" x14ac:dyDescent="0.15">
      <c r="A58" t="s">
        <v>6</v>
      </c>
      <c r="C58">
        <f>C57/C56</f>
        <v>1.2835383303440128E-2</v>
      </c>
      <c r="D58">
        <f t="shared" ref="D58:G58" si="8">D57/D56</f>
        <v>1.4361650140622455E-2</v>
      </c>
      <c r="E58">
        <f t="shared" si="8"/>
        <v>9.467172924780028E-3</v>
      </c>
      <c r="F58">
        <f t="shared" si="8"/>
        <v>1.5651360612922528E-2</v>
      </c>
      <c r="G58">
        <f t="shared" si="8"/>
        <v>1.4714651520726254E-2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Kassel</dc:creator>
  <cp:lastModifiedBy>Andrea Dorsa</cp:lastModifiedBy>
  <dcterms:created xsi:type="dcterms:W3CDTF">2026-10-12T14:44:42Z</dcterms:created>
  <dcterms:modified xsi:type="dcterms:W3CDTF">2026-10-12T18:25:02Z</dcterms:modified>
</cp:coreProperties>
</file>